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81000\RP\racunalniski-praktikum\10-razpredelnice\"/>
    </mc:Choice>
  </mc:AlternateContent>
  <xr:revisionPtr revIDLastSave="0" documentId="13_ncr:1_{5647FAAB-BA63-4891-B558-28E0AAED3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" l="1"/>
  <c r="K4" i="1"/>
  <c r="K3" i="1"/>
  <c r="J3" i="1"/>
  <c r="J4" i="1"/>
  <c r="J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<sst xmlns="http://schemas.openxmlformats.org/spreadsheetml/2006/main" count="104" uniqueCount="70">
  <si>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</si>
  <si>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</si>
  <si>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</si>
  <si>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</si>
  <si>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</si>
  <si>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</si>
  <si>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</si>
  <si>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</si>
  <si>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</si>
  <si>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</si>
  <si>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</si>
  <si>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</si>
  <si>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</si>
  <si>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</si>
  <si>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</si>
  <si>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</si>
  <si>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</si>
  <si>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</si>
  <si>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</si>
  <si>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</si>
  <si>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</si>
  <si>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</si>
  <si>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</si>
  <si>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</si>
  <si>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</si>
  <si>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</si>
  <si>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</si>
  <si>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</si>
  <si>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</si>
  <si>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</si>
  <si>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</si>
  <si>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</si>
  <si>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</si>
  <si>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</si>
  <si>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</si>
  <si>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</si>
  <si>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</si>
  <si>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</si>
  <si>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</si>
  <si>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</si>
  <si>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</si>
  <si>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</si>
  <si>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</si>
  <si>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</si>
  <si>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</si>
  <si>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</si>
  <si>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</si>
  <si>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</si>
  <si>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</si>
  <si>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</si>
  <si>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</si>
  <si>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</si>
  <si>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</si>
  <si>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</si>
  <si>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</si>
  <si>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</si>
  <si>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</si>
  <si>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</si>
  <si>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</si>
  <si>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</si>
  <si>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</si>
  <si>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</si>
  <si>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</si>
  <si>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</si>
  <si>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</si>
  <si>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</si>
  <si>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Row Labels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</si>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</sst>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[rezultati.xlsx]Rezultati!PivotTable1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</a:t>
            </a:r>
            <a:r>
              <a:rPr lang="en-US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274278215223091E-2"/>
          <c:y val="0.30678915135608043"/>
          <c:w val="0.68628477690288714"/>
          <c:h val="0.50720873432487601"/>
        </c:manualLayout>
      </c:layout>
      <c:pie3DChart>
        <c:varyColors val="1"/>
        <c:ser>
          <c:idx val="0"/>
          <c:order val="0"/>
          <c:tx>
            <c:strRef>
              <c:f>'Rezultati'!$J$7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3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48-4080-A62B-DBADCCFE49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'Rezultati'!$I$8:$I$10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'Rezultati'!$J$8:$J$10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8-4080-A62B-DBADCCFE4952}"/>
            </c:ext>
          </c:extLst>
        </c:ser>
        <c:ser>
          <c:idx val="1"/>
          <c:order val="1"/>
          <c:tx>
            <c:strRef>
              <c:f>'Rezultati'!$K$7</c:f>
              <c:strCache>
                <c:ptCount val="1"/>
                <c:pt idx="0">
                  <c:v>Povprečje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'Rezultati'!$I$8:$I$10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'Rezultati'!$K$8:$K$10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8-4080-A62B-DBADCCFE4952}"/>
            </c:ext>
          </c:extLst>
        </c:ser>
        <c:ser>
          <c:idx val="2"/>
          <c:order val="2"/>
          <c:tx>
            <c:strRef>
              <c:f>'Rezultati'!$L$7</c:f>
              <c:strCache>
                <c:ptCount val="1"/>
                <c:pt idx="0">
                  <c:v>Maksimum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'Rezultati'!$I$8:$I$10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'Rezultati'!$L$8:$L$10</c:f>
              <c:numCache>
                <c:formatCode>General</c:formatCode>
                <c:ptCount val="3"/>
                <c:pt idx="0">
                  <c:v>94</c:v>
                </c:pt>
                <c:pt idx="1">
                  <c:v>100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48-4080-A62B-DBADCCFE4952}"/>
            </c:ext>
          </c:extLst>
        </c:ser>
        <c:ser>
          <c:idx val="3"/>
          <c:order val="3"/>
          <c:tx>
            <c:strRef>
              <c:f>'Rezultati'!$M$7</c:f>
              <c:strCache>
                <c:ptCount val="1"/>
                <c:pt idx="0">
                  <c:v>Minimum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'Rezultati'!$I$8:$I$10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'Rezultati'!$M$8:$M$10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48-4080-A62B-DBADCCFE49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'Rezultati'!$K$2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C-48EB-8586-7B3936AC83C3}"/>
            </c:ext>
          </c:extLst>
        </c:ser>
        <c:ser>
          <c:idx val="1"/>
          <c:order val="1"/>
          <c:tx>
            <c:strRef>
              <c:f>'Rezultati'!$L$2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'Rezultati'!$L$3:$L$5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8C-48EB-8586-7B3936AC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855519"/>
        <c:axId val="1353858847"/>
      </c:barChart>
      <c:catAx>
        <c:axId val="1353855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353858847"/>
        <c:crosses val="autoZero"/>
        <c:auto val="1"/>
        <c:lblAlgn val="ctr"/>
        <c:lblOffset val="100"/>
        <c:noMultiLvlLbl val="0"/>
      </c:catAx>
      <c:valAx>
        <c:axId val="135385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35385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557212</xdr:colOff>
      <xdr:row>10</xdr:row>
      <xdr:rowOff>119062</xdr:rowOff>
    </xdr:from>
    <xdr:to>
      <xdr:col>14</xdr:col>
      <xdr:colOff>414337</xdr:colOff>
      <xdr:row>25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5BB997-7839-4AEC-ACEB-35ECF7E8C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528637</xdr:colOff>
      <xdr:row>25</xdr:row>
      <xdr:rowOff>157162</xdr:rowOff>
    </xdr:from>
    <xdr:to>
      <xdr:col>14</xdr:col>
      <xdr:colOff>385762</xdr:colOff>
      <xdr:row>40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C5EC1B-1564-46AF-9F25-F4D731CD5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Šimnovec, Ambrož" refreshedDate="45999.752657986108" createdVersion="7" refreshedVersion="7" minRefreshableVersion="3" recordCount="28" xr:uid="{6EB7B3F0-6DAC-44AA-BE8D-A4B0A236E268}">
  <cacheSource type="worksheet">
    <worksheetSource name="Rezultati"/>
  </cacheSource>
  <cacheFields count="5">
    <cacheField name="Priimek" numFmtId="0">
      <sharedItems count="27">
        <s v="Bezek"/>
        <s v="Cvelbar"/>
        <s v="Furlan"/>
        <s v="Iskra"/>
        <s v="Jerman"/>
        <s v="Karakaš"/>
        <s v="Karničar"/>
        <s v="Kočar"/>
        <s v="Kofol"/>
        <s v="Korošec"/>
        <s v="Kržišnik"/>
        <s v="Kumar"/>
        <s v="Logar"/>
        <s v="Obrenović"/>
        <s v="Pance"/>
        <s v="Pleterski"/>
        <s v="Puncer"/>
        <s v="Ribnikar"/>
        <s v="Smrekar"/>
        <s v="Štemberger"/>
        <s v="Šubašič"/>
        <s v="Tekavčič"/>
        <s v="Tratnik"/>
        <s v="Trček"/>
        <s v="Vesel"/>
        <s v="Virant"/>
        <s v="Žveglič"/>
      </sharedItems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Tomaž"/>
    <x v="0"/>
    <n v="38"/>
    <s v="ne"/>
  </r>
  <r>
    <x v="1"/>
    <s v="Janja"/>
    <x v="0"/>
    <n v="39"/>
    <s v="ne"/>
  </r>
  <r>
    <x v="2"/>
    <s v="Aleš"/>
    <x v="0"/>
    <n v="36"/>
    <s v="ne"/>
  </r>
  <r>
    <x v="2"/>
    <s v="Luka"/>
    <x v="1"/>
    <n v="93"/>
    <s v="da"/>
  </r>
  <r>
    <x v="3"/>
    <s v="Sabina"/>
    <x v="1"/>
    <n v="77"/>
    <s v="da"/>
  </r>
  <r>
    <x v="4"/>
    <s v="Katja"/>
    <x v="0"/>
    <n v="100"/>
    <s v="da"/>
  </r>
  <r>
    <x v="5"/>
    <s v="Alenka"/>
    <x v="1"/>
    <n v="94"/>
    <s v="da"/>
  </r>
  <r>
    <x v="6"/>
    <s v="Jaka"/>
    <x v="2"/>
    <n v="26"/>
    <s v="ne"/>
  </r>
  <r>
    <x v="7"/>
    <s v="Petra"/>
    <x v="0"/>
    <n v="44"/>
    <s v="ne"/>
  </r>
  <r>
    <x v="8"/>
    <s v="Andraž"/>
    <x v="2"/>
    <n v="34"/>
    <s v="ne"/>
  </r>
  <r>
    <x v="9"/>
    <s v="Kristina"/>
    <x v="0"/>
    <n v="86"/>
    <s v="da"/>
  </r>
  <r>
    <x v="10"/>
    <s v="Grega"/>
    <x v="0"/>
    <n v="90"/>
    <s v="da"/>
  </r>
  <r>
    <x v="11"/>
    <s v="Barbara"/>
    <x v="0"/>
    <n v="67"/>
    <s v="da"/>
  </r>
  <r>
    <x v="12"/>
    <s v="Mateja"/>
    <x v="1"/>
    <n v="42"/>
    <s v="ne"/>
  </r>
  <r>
    <x v="13"/>
    <s v="Tatjana"/>
    <x v="2"/>
    <n v="44"/>
    <s v="ne"/>
  </r>
  <r>
    <x v="14"/>
    <s v="Martin"/>
    <x v="0"/>
    <n v="64"/>
    <s v="da"/>
  </r>
  <r>
    <x v="15"/>
    <s v="Vesna"/>
    <x v="2"/>
    <n v="30"/>
    <s v="ne"/>
  </r>
  <r>
    <x v="16"/>
    <s v="Primož"/>
    <x v="1"/>
    <n v="57"/>
    <s v="da"/>
  </r>
  <r>
    <x v="17"/>
    <s v="Matjaž"/>
    <x v="1"/>
    <n v="43"/>
    <s v="ne"/>
  </r>
  <r>
    <x v="18"/>
    <s v="Andreja"/>
    <x v="1"/>
    <n v="38"/>
    <s v="ne"/>
  </r>
  <r>
    <x v="19"/>
    <s v="Igor"/>
    <x v="0"/>
    <n v="85"/>
    <s v="da"/>
  </r>
  <r>
    <x v="20"/>
    <s v="Matej"/>
    <x v="2"/>
    <n v="76"/>
    <s v="da"/>
  </r>
  <r>
    <x v="21"/>
    <s v="Aleksander"/>
    <x v="1"/>
    <n v="34"/>
    <s v="ne"/>
  </r>
  <r>
    <x v="22"/>
    <s v="Mojca"/>
    <x v="0"/>
    <n v="79"/>
    <s v="da"/>
  </r>
  <r>
    <x v="23"/>
    <s v="Valerija"/>
    <x v="0"/>
    <n v="70"/>
    <s v="da"/>
  </r>
  <r>
    <x v="24"/>
    <s v="Polona"/>
    <x v="2"/>
    <n v="66"/>
    <s v="da"/>
  </r>
  <r>
    <x v="25"/>
    <s v="Primož"/>
    <x v="2"/>
    <n v="58"/>
    <s v="da"/>
  </r>
  <r>
    <x v="26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3CF12-5AB1-4EAF-90CE-C32D09C3DC8E}" name="PivotTable1" cacheId="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I7:M10" firstHeaderRow="0" firstDataRow="1" firstDataCol="1"/>
  <pivotFields count="5">
    <pivotField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2" baseItem="0"/>
    <dataField name="Povprečje" fld="3" subtotal="average" baseField="2" baseItem="0"/>
    <dataField name="Maksimum" fld="3" subtotal="max" baseField="2" baseItem="0"/>
    <dataField name="Minimum" fld="3" subtotal="min" baseField="2" baseItem="0"/>
  </dataFields>
  <formats count="2">
    <format dxfId="5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 &gt;= 50, "da", 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I2:L5" totalsRowShown="0">
  <autoFilter ref="I2:L5" xr:uid="{BAD53C94-4DD0-B043-8002-9273766F5DC7}"/>
  <tableColumns count="4">
    <tableColumn id="1" xr3:uid="{26F1C940-A3E1-AA4A-B91A-EA859D7A62AD}" name="Test"/>
    <tableColumn id="2" xr3:uid="{EA7356A2-0D38-5D42-A1AC-E30DC5D5C796}" name="Udeležba" dataDxfId="7">
      <calculatedColumnFormula>COUNTIF(Rezultati[Skupina],Skupine[[#This Row],[Test]])</calculatedColumnFormula>
    </tableColumn>
    <tableColumn id="3" xr3:uid="{49F9352C-9597-4E44-8122-AF1CE6CE856F}" name="2022" dataDxfId="6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0"/>
  <sheetViews>
    <sheetView tabSelected="1" workbookViewId="0">
      <selection activeCell="E4" sqref="E4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9" max="9" width="13.140625" bestFit="1" customWidth="1"/>
    <col min="10" max="10" width="9.42578125" bestFit="1" customWidth="1"/>
    <col min="11" max="11" width="9.85546875" bestFit="1" customWidth="1"/>
    <col min="12" max="12" width="10.85546875" bestFit="1" customWidth="1"/>
    <col min="13" max="13" width="9.7109375" bestFit="1" customWidth="1"/>
  </cols>
  <sheetData>
    <row r="2" spans="2:1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5</v>
      </c>
      <c r="J2" t="s">
        <v>6</v>
      </c>
      <c r="K2" t="s">
        <v>65</v>
      </c>
      <c r="L2" t="s">
        <v>64</v>
      </c>
    </row>
    <row r="3" spans="2:13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 &gt;= 50, "da", "ne")</f>
        <v>ne</v>
      </c>
      <c r="I3" t="s">
        <v>9</v>
      </c>
      <c r="J3">
        <f>COUNTIF(Rezultati[Skupina],Skupine[[#This Row],[Test]])</f>
        <v>9</v>
      </c>
      <c r="K3" s="1">
        <f>AVERAGEIF(Rezultati[Skupina],Skupine[[#This Row],[Test]],Rezultati[Točke])</f>
        <v>58.222222222222221</v>
      </c>
      <c r="L3">
        <v>66.84</v>
      </c>
    </row>
    <row r="4" spans="2:13" x14ac:dyDescent="0.25">
      <c r="B4" t="s">
        <v>34</v>
      </c>
      <c r="C4" t="s">
        <v>35</v>
      </c>
      <c r="D4" t="s">
        <v>12</v>
      </c>
      <c r="E4">
        <v>39</v>
      </c>
      <c r="F4" t="str">
        <f>IF(Rezultati[[#This Row],[Točke]] &gt;= 50, "da", "ne")</f>
        <v>ne</v>
      </c>
      <c r="I4" t="s">
        <v>12</v>
      </c>
      <c r="J4">
        <f>COUNTIF(Rezultati[Skupina],Skupine[[#This Row],[Test]])</f>
        <v>12</v>
      </c>
      <c r="K4" s="1">
        <f>AVERAGEIF(Rezultati[Skupina],Skupine[[#This Row],[Test]],Rezultati[Točke])</f>
        <v>66.5</v>
      </c>
      <c r="L4">
        <v>52.35</v>
      </c>
    </row>
    <row r="5" spans="2:13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 &gt;= 50, "da", "ne")</f>
        <v>ne</v>
      </c>
      <c r="I5" t="s">
        <v>15</v>
      </c>
      <c r="J5">
        <f>COUNTIF(Rezultati[Skupina],Skupine[[#This Row],[Test]])</f>
        <v>7</v>
      </c>
      <c r="K5" s="1">
        <f>AVERAGEIF(Rezultati[Skupina],Skupine[[#This Row],[Test]],Rezultati[Točke])</f>
        <v>47.714285714285715</v>
      </c>
      <c r="L5">
        <v>49.66</v>
      </c>
    </row>
    <row r="6" spans="2:13" x14ac:dyDescent="0.25">
      <c r="B6" t="s">
        <v>7</v>
      </c>
      <c r="C6" t="s">
        <v>8</v>
      </c>
      <c r="D6" t="s">
        <v>9</v>
      </c>
      <c r="E6">
        <v>93</v>
      </c>
      <c r="F6" t="str">
        <f>IF(Rezultati[[#This Row],[Točke]] &gt;= 50, "da", "ne")</f>
        <v>da</v>
      </c>
    </row>
    <row r="7" spans="2:13" x14ac:dyDescent="0.25">
      <c r="B7" t="s">
        <v>37</v>
      </c>
      <c r="C7" t="s">
        <v>38</v>
      </c>
      <c r="D7" t="s">
        <v>9</v>
      </c>
      <c r="E7">
        <v>77</v>
      </c>
      <c r="F7" t="str">
        <f>IF(Rezultati[[#This Row],[Točke]] &gt;= 50, "da", "ne")</f>
        <v>da</v>
      </c>
      <c r="I7" s="3" t="s">
        <v>66</v>
      </c>
      <c r="J7" t="s">
        <v>6</v>
      </c>
      <c r="K7" t="s">
        <v>67</v>
      </c>
      <c r="L7" t="s">
        <v>68</v>
      </c>
      <c r="M7" t="s">
        <v>69</v>
      </c>
    </row>
    <row r="8" spans="2:13" x14ac:dyDescent="0.25">
      <c r="B8" t="s">
        <v>39</v>
      </c>
      <c r="C8" t="s">
        <v>40</v>
      </c>
      <c r="D8" t="s">
        <v>12</v>
      </c>
      <c r="E8">
        <v>100</v>
      </c>
      <c r="F8" t="str">
        <f>IF(Rezultati[[#This Row],[Točke]] &gt;= 50, "da", "ne")</f>
        <v>da</v>
      </c>
      <c r="I8" s="4" t="s">
        <v>9</v>
      </c>
      <c r="J8" s="2">
        <v>9</v>
      </c>
      <c r="K8" s="1">
        <v>58.222222222222221</v>
      </c>
      <c r="L8" s="2">
        <v>94</v>
      </c>
      <c r="M8" s="2">
        <v>34</v>
      </c>
    </row>
    <row r="9" spans="2:13" x14ac:dyDescent="0.25">
      <c r="B9" t="s">
        <v>10</v>
      </c>
      <c r="C9" t="s">
        <v>11</v>
      </c>
      <c r="D9" t="s">
        <v>9</v>
      </c>
      <c r="E9">
        <v>94</v>
      </c>
      <c r="F9" t="str">
        <f>IF(Rezultati[[#This Row],[Točke]] &gt;= 50, "da", "ne")</f>
        <v>da</v>
      </c>
      <c r="I9" s="4" t="s">
        <v>12</v>
      </c>
      <c r="J9" s="2">
        <v>12</v>
      </c>
      <c r="K9" s="1">
        <v>66.5</v>
      </c>
      <c r="L9" s="2">
        <v>100</v>
      </c>
      <c r="M9" s="2">
        <v>36</v>
      </c>
    </row>
    <row r="10" spans="2:13" x14ac:dyDescent="0.25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 &gt;= 50, "da", "ne")</f>
        <v>ne</v>
      </c>
      <c r="I10" s="4" t="s">
        <v>15</v>
      </c>
      <c r="J10" s="2">
        <v>7</v>
      </c>
      <c r="K10" s="1">
        <v>47.714285714285715</v>
      </c>
      <c r="L10" s="2">
        <v>76</v>
      </c>
      <c r="M10" s="2">
        <v>26</v>
      </c>
    </row>
    <row r="11" spans="2:13" x14ac:dyDescent="0.25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 &gt;= 50, "da", "ne")</f>
        <v>ne</v>
      </c>
    </row>
    <row r="12" spans="2:13" x14ac:dyDescent="0.25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 &gt;= 50, "da", "ne")</f>
        <v>ne</v>
      </c>
    </row>
    <row r="13" spans="2:13" x14ac:dyDescent="0.2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 &gt;= 50, "da", "ne")</f>
        <v>da</v>
      </c>
    </row>
    <row r="14" spans="2:13" x14ac:dyDescent="0.2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 &gt;= 50, "da", "ne")</f>
        <v>da</v>
      </c>
    </row>
    <row r="15" spans="2:13" x14ac:dyDescent="0.2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 &gt;= 50, "da", "ne")</f>
        <v>da</v>
      </c>
    </row>
    <row r="16" spans="2:13" x14ac:dyDescent="0.25">
      <c r="B16" t="s">
        <v>20</v>
      </c>
      <c r="C16" t="s">
        <v>21</v>
      </c>
      <c r="D16" t="s">
        <v>9</v>
      </c>
      <c r="E16">
        <v>42</v>
      </c>
      <c r="F16" t="str">
        <f>IF(Rezultati[[#This Row],[Točke]] &gt;= 50, "da", "ne")</f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 &gt;= 50, "da", "ne")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 &gt;= 50, "da", "ne")</f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 &gt;= 50, "da", "ne")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 &gt;= 50, "da", "ne")</f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>IF(Rezultati[[#This Row],[Točke]] &gt;= 50, "da", "ne")</f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>IF(Rezultati[[#This Row],[Točke]] &gt;= 50, "da", "ne")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 &gt;= 50, "da", "ne")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 &gt;= 50, "da", "ne")</f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>IF(Rezultati[[#This Row],[Točke]] &gt;= 50, "da", "ne")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 &gt;= 50, "da", "ne")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 &gt;= 50, "da", "ne")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 &gt;= 50, "da", "ne")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 &gt;= 50, "da", "ne")</f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>IF(Rezultati[[#This Row],[Točke]] &gt;= 50, "da", "ne")</f>
        <v>ne</v>
      </c>
    </row>
  </sheetData>
  <conditionalFormatting sqref="B3 C3 E3 B3:C30 E3:E30">
    <cfRule type="expression" dxfId="1" priority="1">
      <formula>$E3 &lt; 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Šimnovec, Ambrož</cp:lastModifiedBy>
  <dcterms:created xsi:type="dcterms:W3CDTF">2007-11-10T02:36:44Z</dcterms:created>
  <dcterms:modified xsi:type="dcterms:W3CDTF">2025-12-08T17:35:31Z</dcterms:modified>
</cp:coreProperties>
</file>