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81000\RP\racunalniski-praktikum\10-razpredelnice\"/>
    </mc:Choice>
  </mc:AlternateContent>
  <xr:revisionPtr revIDLastSave="0" documentId="13_ncr:1_{8398600D-4573-4F19-B9BE-368D8B781B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  <c r="G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<sst xmlns="http://schemas.openxmlformats.org/spreadsheetml/2006/main" count="20" uniqueCount="20">
  <si>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</si>
  <si>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</si>
  <si>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</si>
  <si>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</si>
  <si>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</si>
  <si>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</si>
  <si>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</si>
  <si>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</si>
  <si>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</si>
  <si>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</si>
  <si>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</si>
  <si>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</si>
  <si>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</si>
  <si>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</si>
  <si>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</si>
  <si>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</si>
  <si>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Mesec</t>
  </si>
  <si>
    <t>Vrednosti</t>
  </si>
  <si>
    <t>Skupaj km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</si>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</sst>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7" formatCode="#,##0.00\ &quot;€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2" formatCode="0.00"/>
      <fill>
        <patternFill patternType="none">
          <fgColor indexed="64"/>
          <bgColor auto="1"/>
        </patternFill>
      </fill>
    </dxf>
    <dxf>
      <numFmt numFmtId="167" formatCode="#,##0.00\ &quot;€&quot;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Šimnovec, Ambrož" refreshedDate="45999.818332523151" createdVersion="7" refreshedVersion="7" minRefreshableVersion="3" recordCount="19" xr:uid="{84AEBCCC-28E7-4864-81BE-16FB29B12EA2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67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String="0" containsBlank="1" containsNumber="1" minValue="6.3103953147877023" maxValue="8.1008968609865484" count="19">
        <m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tring="0" containsBlank="1" containsNumber="1" minValue="6.3103953147877023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s v=""/>
    <x v="0"/>
    <m/>
  </r>
  <r>
    <x v="1"/>
    <n v="43.02"/>
    <n v="59.797800000000002"/>
    <n v="42521"/>
    <n v="614"/>
    <x v="1"/>
    <n v="7.006514657980456"/>
  </r>
  <r>
    <x v="2"/>
    <n v="41.67"/>
    <n v="57.921299999999995"/>
    <n v="43181"/>
    <n v="660"/>
    <x v="2"/>
    <n v="6.3136363636363644"/>
  </r>
  <r>
    <x v="3"/>
    <n v="34.04"/>
    <n v="47.043279999999996"/>
    <n v="43696"/>
    <n v="515"/>
    <x v="3"/>
    <n v="6.6097087378640769"/>
  </r>
  <r>
    <x v="4"/>
    <n v="42.42"/>
    <n v="59.897039999999997"/>
    <n v="44314"/>
    <n v="618"/>
    <x v="4"/>
    <n v="6.8640776699029127"/>
  </r>
  <r>
    <x v="5"/>
    <n v="43.1"/>
    <n v="60.857199999999999"/>
    <n v="44997"/>
    <n v="683"/>
    <x v="5"/>
    <n v="6.3103953147877023"/>
  </r>
  <r>
    <x v="6"/>
    <n v="38.18"/>
    <n v="54.368319999999997"/>
    <n v="45546"/>
    <n v="549"/>
    <x v="6"/>
    <n v="6.9544626593806917"/>
  </r>
  <r>
    <x v="7"/>
    <n v="40.659999999999997"/>
    <n v="58.713039999999992"/>
    <n v="46126"/>
    <n v="580"/>
    <x v="7"/>
    <n v="7.0103448275862066"/>
  </r>
  <r>
    <x v="8"/>
    <n v="39.17"/>
    <n v="56.561480000000003"/>
    <n v="46687"/>
    <n v="561"/>
    <x v="8"/>
    <n v="6.9821746880570412"/>
  </r>
  <r>
    <x v="9"/>
    <n v="40.29"/>
    <n v="58.662239999999997"/>
    <n v="47250"/>
    <n v="563"/>
    <x v="9"/>
    <n v="7.1563055062166967"/>
  </r>
  <r>
    <x v="10"/>
    <n v="41.01"/>
    <n v="59.710559999999994"/>
    <n v="47867"/>
    <n v="617"/>
    <x v="10"/>
    <n v="6.6466774716369521"/>
  </r>
  <r>
    <x v="11"/>
    <n v="37.18"/>
    <n v="56.178979999999996"/>
    <n v="48407"/>
    <n v="540"/>
    <x v="11"/>
    <n v="6.8851851851851844"/>
  </r>
  <r>
    <x v="12"/>
    <n v="41.46"/>
    <n v="62.646059999999999"/>
    <n v="49005"/>
    <n v="598"/>
    <x v="12"/>
    <n v="6.9331103678929766"/>
  </r>
  <r>
    <x v="13"/>
    <n v="35.97"/>
    <n v="55.537680000000002"/>
    <n v="49480"/>
    <n v="475"/>
    <x v="13"/>
    <n v="7.5726315789473686"/>
  </r>
  <r>
    <x v="14"/>
    <n v="38.74"/>
    <n v="60.085740000000001"/>
    <n v="50012"/>
    <n v="532"/>
    <x v="14"/>
    <n v="7.2819548872180455"/>
  </r>
  <r>
    <x v="15"/>
    <n v="36.130000000000003"/>
    <n v="56.03763"/>
    <n v="50458"/>
    <n v="446"/>
    <x v="15"/>
    <n v="8.1008968609865484"/>
  </r>
  <r>
    <x v="16"/>
    <n v="38.51"/>
    <n v="61.153880000000001"/>
    <n v="50991"/>
    <n v="533"/>
    <x v="16"/>
    <n v="7.2251407129455911"/>
  </r>
  <r>
    <x v="17"/>
    <n v="38.840000000000003"/>
    <n v="61.677920000000007"/>
    <n v="51593"/>
    <n v="602"/>
    <x v="17"/>
    <n v="6.4518272425249172"/>
  </r>
  <r>
    <x v="18"/>
    <n v="41.73"/>
    <n v="64.097279999999998"/>
    <n v="52176"/>
    <n v="583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A9F8C-683E-4607-85EC-8C8C1D4126BE}" name="PivotTable3" cacheId="7" dataOnRows="1" applyNumberFormats="0" applyBorderFormats="0" applyFontFormats="0" applyPatternFormats="0" applyAlignmentFormats="0" applyWidthHeightFormats="1" dataCaption="Vrednosti" updatedVersion="7" minRefreshableVersion="3" useAutoFormatting="1" rowGrandTotals="0" colGrandTotals="0" itemPrintTitles="1" createdVersion="7" indent="0" outline="1" outlineData="1" multipleFieldFilters="0" colHeaderCaption="Mesec">
  <location ref="B23:H27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67" showAll="0"/>
    <pivotField numFmtId="3" showAll="0"/>
    <pivotField dataField="1" showAll="0"/>
    <pivotField dataField="1"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2">
    <field x="7"/>
    <field x="0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7" baseItem="5"/>
    <dataField name="Povprečna poraba" fld="5" subtotal="average" baseField="7" baseItem="5"/>
  </dataFields>
  <formats count="1">
    <format dxfId="0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2"/>
    <tableColumn id="2" xr3:uid="{6DC2697C-FCB3-8A47-945B-8CD05834AA8C}" uniqueName="2" name="Litri" queryTableFieldId="2" dataDxfId="4"/>
    <tableColumn id="3" xr3:uid="{19DBC541-3ADF-4E48-8786-6E42DA219788}" uniqueName="3" name="Plačano" queryTableFieldId="3" dataDxfId="2"/>
    <tableColumn id="4" xr3:uid="{3238A9AD-2FC0-0E49-9EE3-7019C05B366B}" uniqueName="4" name="Števec" queryTableFieldId="4" dataDxfId="3"/>
    <tableColumn id="5" xr3:uid="{E0B5480D-9C8F-CA4C-941D-AE9FDE0CDFDC}" uniqueName="5" name="Prevoženo" queryTableFieldId="5" dataDxfId="11"/>
    <tableColumn id="6" xr3:uid="{1DEAFC6B-8470-6742-BAB3-957B7429D133}" uniqueName="6" name="Poraba" queryTableFieldId="6" dataDxfId="10"/>
    <tableColumn id="11" xr3:uid="{911769A8-5CFE-8245-A64B-38797D90A3B5}" uniqueName="11" name="Prikaz" queryTableFieldId="11" dataDxfId="1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9" tableBorderDxfId="8" totalsRowBorderDxfId="7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6"/>
    <tableColumn id="2" xr3:uid="{079EA12A-47EB-F54A-8E37-30D8BCE75150}" name="Bencin" dataDxfId="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topLeftCell="A4" zoomScale="120" zoomScaleNormal="120" workbookViewId="0">
      <selection activeCell="G30" sqref="G30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6" width="12.85546875" bestFit="1" customWidth="1"/>
    <col min="7" max="7" width="11.85546875" bestFit="1" customWidth="1"/>
    <col min="8" max="8" width="12.85546875" bestFit="1" customWidth="1"/>
    <col min="9" max="9" width="9" customWidth="1"/>
    <col min="10" max="10" width="11.85546875" bestFit="1" customWidth="1"/>
    <col min="11" max="11" width="10.7109375" bestFit="1" customWidth="1"/>
    <col min="13" max="13" width="17.42578125" bestFit="1" customWidth="1"/>
    <col min="14" max="17" width="12.85546875" bestFit="1" customWidth="1"/>
    <col min="18" max="18" width="11.85546875" bestFit="1" customWidth="1"/>
    <col min="19" max="19" width="12.85546875" bestFit="1" customWidth="1"/>
    <col min="20" max="20" width="17.85546875" bestFit="1" customWidth="1"/>
    <col min="21" max="21" width="17.7109375" bestFit="1" customWidth="1"/>
    <col min="22" max="22" width="17.85546875" bestFit="1" customWidth="1"/>
    <col min="23" max="23" width="17.7109375" bestFit="1" customWidth="1"/>
    <col min="24" max="24" width="17.85546875" bestFit="1" customWidth="1"/>
    <col min="25" max="31" width="16.28515625" bestFit="1" customWidth="1"/>
    <col min="32" max="32" width="11.5703125" bestFit="1" customWidth="1"/>
    <col min="33" max="33" width="8" bestFit="1" customWidth="1"/>
    <col min="34" max="34" width="10.140625" bestFit="1" customWidth="1"/>
    <col min="35" max="36" width="7" bestFit="1" customWidth="1"/>
    <col min="37" max="37" width="9.140625" bestFit="1" customWidth="1"/>
    <col min="38" max="38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6">
        <f>INDEX(Table3[Bencin],MATCH(realna_poraba_cupra__2[[#This Row],[Datum]],Table3[Veljavnost],1))*realna_poraba_cupra__2[[#This Row],[Litri]]</f>
        <v>58.296720000000001</v>
      </c>
      <c r="E3" s="2">
        <v>41907</v>
      </c>
      <c r="F3" t="s">
        <v>4</v>
      </c>
      <c r="H3" s="3"/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6">
        <f>INDEX(Table3[Bencin],MATCH(realna_poraba_cupra__2[[#This Row],[Datum]],Table3[Veljavnost],1))*realna_poraba_cupra__2[[#This Row],[Litri]]</f>
        <v>59.797800000000002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6">
        <f>INDEX(Table3[Bencin],MATCH(realna_poraba_cupra__2[[#This Row],[Datum]],Table3[Veljavnost],1))*realna_poraba_cupra__2[[#This Row],[Litri]]</f>
        <v>57.921299999999995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6">
        <f>INDEX(Table3[Bencin],MATCH(realna_poraba_cupra__2[[#This Row],[Datum]],Table3[Veljavnost],1))*realna_poraba_cupra__2[[#This Row],[Litri]]</f>
        <v>47.043279999999996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6">
        <f>INDEX(Table3[Bencin],MATCH(realna_poraba_cupra__2[[#This Row],[Datum]],Table3[Veljavnost],1))*realna_poraba_cupra__2[[#This Row],[Litri]]</f>
        <v>59.897039999999997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6">
        <f>INDEX(Table3[Bencin],MATCH(realna_poraba_cupra__2[[#This Row],[Datum]],Table3[Veljavnost],1))*realna_poraba_cupra__2[[#This Row],[Litri]]</f>
        <v>60.857199999999999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6">
        <f>INDEX(Table3[Bencin],MATCH(realna_poraba_cupra__2[[#This Row],[Datum]],Table3[Veljavnost],1))*realna_poraba_cupra__2[[#This Row],[Litri]]</f>
        <v>54.368319999999997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6">
        <f>INDEX(Table3[Bencin],MATCH(realna_poraba_cupra__2[[#This Row],[Datum]],Table3[Veljavnost],1))*realna_poraba_cupra__2[[#This Row],[Litri]]</f>
        <v>58.713039999999992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6">
        <f>INDEX(Table3[Bencin],MATCH(realna_poraba_cupra__2[[#This Row],[Datum]],Table3[Veljavnost],1))*realna_poraba_cupra__2[[#This Row],[Litri]]</f>
        <v>56.561480000000003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6">
        <f>INDEX(Table3[Bencin],MATCH(realna_poraba_cupra__2[[#This Row],[Datum]],Table3[Veljavnost],1))*realna_poraba_cupra__2[[#This Row],[Litri]]</f>
        <v>58.662239999999997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6">
        <f>INDEX(Table3[Bencin],MATCH(realna_poraba_cupra__2[[#This Row],[Datum]],Table3[Veljavnost],1))*realna_poraba_cupra__2[[#This Row],[Litri]]</f>
        <v>59.710559999999994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6">
        <f>INDEX(Table3[Bencin],MATCH(realna_poraba_cupra__2[[#This Row],[Datum]],Table3[Veljavnost],1))*realna_poraba_cupra__2[[#This Row],[Litri]]</f>
        <v>56.178979999999996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6">
        <f>INDEX(Table3[Bencin],MATCH(realna_poraba_cupra__2[[#This Row],[Datum]],Table3[Veljavnost],1))*realna_poraba_cupra__2[[#This Row],[Litri]]</f>
        <v>62.646059999999999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6">
        <f>INDEX(Table3[Bencin],MATCH(realna_poraba_cupra__2[[#This Row],[Datum]],Table3[Veljavnost],1))*realna_poraba_cupra__2[[#This Row],[Litri]]</f>
        <v>55.537680000000002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6">
        <f>INDEX(Table3[Bencin],MATCH(realna_poraba_cupra__2[[#This Row],[Datum]],Table3[Veljavnost],1))*realna_poraba_cupra__2[[#This Row],[Litri]]</f>
        <v>60.085740000000001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6">
        <f>INDEX(Table3[Bencin],MATCH(realna_poraba_cupra__2[[#This Row],[Datum]],Table3[Veljavnost],1))*realna_poraba_cupra__2[[#This Row],[Litri]]</f>
        <v>56.03763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6">
        <f>INDEX(Table3[Bencin],MATCH(realna_poraba_cupra__2[[#This Row],[Datum]],Table3[Veljavnost],1))*realna_poraba_cupra__2[[#This Row],[Litri]]</f>
        <v>61.153880000000001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6">
        <f>INDEX(Table3[Bencin],MATCH(realna_poraba_cupra__2[[#This Row],[Datum]],Table3[Veljavnost],1))*realna_poraba_cupra__2[[#This Row],[Litri]]</f>
        <v>61.677920000000007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6">
        <f>INDEX(Table3[Bencin],MATCH(realna_poraba_cupra__2[[#This Row],[Datum]],Table3[Veljavnost],1))*realna_poraba_cupra__2[[#This Row],[Litri]]</f>
        <v>64.097279999999998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7" t="s">
        <v>16</v>
      </c>
      <c r="J23" s="1">
        <v>45209</v>
      </c>
      <c r="K23" s="4">
        <v>1.536</v>
      </c>
    </row>
    <row r="24" spans="2:11" x14ac:dyDescent="0.25"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B25" s="7" t="s">
        <v>17</v>
      </c>
      <c r="J25" s="1">
        <v>45237</v>
      </c>
      <c r="K25" s="4">
        <v>1.534</v>
      </c>
    </row>
    <row r="26" spans="2:11" x14ac:dyDescent="0.25">
      <c r="B26" s="8" t="s">
        <v>18</v>
      </c>
      <c r="C26" s="9">
        <v>1789</v>
      </c>
      <c r="D26" s="9">
        <v>1850</v>
      </c>
      <c r="E26" s="9">
        <v>2321</v>
      </c>
      <c r="F26" s="9">
        <v>1138</v>
      </c>
      <c r="G26" s="9">
        <v>1986</v>
      </c>
      <c r="H26" s="9">
        <v>1185</v>
      </c>
    </row>
    <row r="27" spans="2:11" x14ac:dyDescent="0.25">
      <c r="B27" s="8" t="s">
        <v>19</v>
      </c>
      <c r="C27" s="3">
        <v>6.643286586493633</v>
      </c>
      <c r="D27" s="3">
        <v>6.7096452146904353</v>
      </c>
      <c r="E27" s="3">
        <v>6.9488756233742244</v>
      </c>
      <c r="F27" s="3">
        <v>6.909147776539081</v>
      </c>
      <c r="G27" s="3">
        <v>7.5451560100243888</v>
      </c>
      <c r="H27" s="3">
        <v>6.8048158511080841</v>
      </c>
    </row>
    <row r="28" spans="2:11" x14ac:dyDescent="0.25">
      <c r="D28" s="5"/>
      <c r="E28" s="5"/>
    </row>
    <row r="29" spans="2:11" x14ac:dyDescent="0.25">
      <c r="D29" s="5"/>
      <c r="E29" s="5"/>
    </row>
  </sheetData>
  <conditionalFormatting sqref="H4:H21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{006988B1-9E22-4258-9D1B-0439F05EC030}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6988B1-9E22-4258-9D1B-0439F05EC03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Šimnovec, Ambrož</cp:lastModifiedBy>
  <dcterms:created xsi:type="dcterms:W3CDTF">2007-10-01T06:54:22Z</dcterms:created>
  <dcterms:modified xsi:type="dcterms:W3CDTF">2025-12-08T18:49:41Z</dcterms:modified>
</cp:coreProperties>
</file>